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Load Schedule" sheetId="1" state="visible" r:id="rId3"/>
    <sheet name="2. Voltage Drop" sheetId="2" state="visible" r:id="rId4"/>
    <sheet name="3. Cable Sizing &amp; Short-Circuit" sheetId="3" state="visible" r:id="rId5"/>
    <sheet name="4. Cable Run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<sst xmlns="http://schemas.openxmlformats.org/spreadsheetml/2006/main" count="276" uniqueCount="139">
  <si>
    <t xml:space="preserve">BUILDING ELECTRICAL DISTRIBUTION SYSTEM</t>
  </si>
  <si>
    <t xml:space="preserve">Load Schedule  ·  3-Storey Commercial Office Building  ·  Ottawa, ON  ·  Prepared by: A.Y. Loukili, Carleton University EE</t>
  </si>
  <si>
    <t xml:space="preserve">Circuit ID</t>
  </si>
  <si>
    <t xml:space="preserve">Load Description</t>
  </si>
  <si>
    <t xml:space="preserve">Location</t>
  </si>
  <si>
    <t xml:space="preserve">Qty</t>
  </si>
  <si>
    <t xml:space="preserve">Unit Load (W)</t>
  </si>
  <si>
    <t xml:space="preserve">Total Load (W)</t>
  </si>
  <si>
    <t xml:space="preserve">Demand Factor</t>
  </si>
  <si>
    <t xml:space="preserve">Design Load (W)</t>
  </si>
  <si>
    <t xml:space="preserve">── LIGHTING ──</t>
  </si>
  <si>
    <t xml:space="preserve">L1A</t>
  </si>
  <si>
    <t xml:space="preserve">General Lighting</t>
  </si>
  <si>
    <t xml:space="preserve">Floor 1</t>
  </si>
  <si>
    <t xml:space="preserve">L1B</t>
  </si>
  <si>
    <t xml:space="preserve">Floor 2</t>
  </si>
  <si>
    <t xml:space="preserve">L1C</t>
  </si>
  <si>
    <t xml:space="preserve">Floor 3</t>
  </si>
  <si>
    <t xml:space="preserve">L2A</t>
  </si>
  <si>
    <t xml:space="preserve">Task / Accent Lighting</t>
  </si>
  <si>
    <t xml:space="preserve">L2B</t>
  </si>
  <si>
    <t xml:space="preserve">L2C</t>
  </si>
  <si>
    <t xml:space="preserve">── POWER RECEPTACLES ──</t>
  </si>
  <si>
    <t xml:space="preserve">P1A</t>
  </si>
  <si>
    <t xml:space="preserve">General Receptacles</t>
  </si>
  <si>
    <t xml:space="preserve">P1B</t>
  </si>
  <si>
    <t xml:space="preserve">P1C</t>
  </si>
  <si>
    <t xml:space="preserve">P2A</t>
  </si>
  <si>
    <t xml:space="preserve">Dedicated PC Circuits</t>
  </si>
  <si>
    <t xml:space="preserve">P2B</t>
  </si>
  <si>
    <t xml:space="preserve">P2C</t>
  </si>
  <si>
    <t xml:space="preserve">── MECHANICAL ──</t>
  </si>
  <si>
    <t xml:space="preserve">HVAC1</t>
  </si>
  <si>
    <t xml:space="preserve">Rooftop AHU — Unit 1</t>
  </si>
  <si>
    <t xml:space="preserve">Rooftop</t>
  </si>
  <si>
    <t xml:space="preserve">HVAC2</t>
  </si>
  <si>
    <t xml:space="preserve">Rooftop AHU — Unit 2</t>
  </si>
  <si>
    <t xml:space="preserve">EV</t>
  </si>
  <si>
    <t xml:space="preserve">Elevator Motor</t>
  </si>
  <si>
    <t xml:space="preserve">Basement</t>
  </si>
  <si>
    <t xml:space="preserve">── SAFETY SYSTEMS ──</t>
  </si>
  <si>
    <t xml:space="preserve">EL</t>
  </si>
  <si>
    <t xml:space="preserve">Emergency Lighting</t>
  </si>
  <si>
    <t xml:space="preserve">All Floors</t>
  </si>
  <si>
    <t xml:space="preserve">FA</t>
  </si>
  <si>
    <t xml:space="preserve">Fire Alarm Panel</t>
  </si>
  <si>
    <t xml:space="preserve">Ground FL</t>
  </si>
  <si>
    <t xml:space="preserve">SEC</t>
  </si>
  <si>
    <t xml:space="preserve">Security / Access Ctrl</t>
  </si>
  <si>
    <t xml:space="preserve">TOTAL CONNECTED DESIGN LOAD</t>
  </si>
  <si>
    <t xml:space="preserve">Notes: Demand factors per Ontario Electrical Code (OEC) Table 8.  Unit loads per NEC Table 220.12.  All values in Watts (W) at 120/208V, 3-phase, 4-wire distribution.</t>
  </si>
  <si>
    <t xml:space="preserve">VOLTAGE DROP ANALYSIS  ·  Branch Circuits</t>
  </si>
  <si>
    <t xml:space="preserve">Formula: VD (%) = (2 × L × I × R) / (1000 × V) × 100   |   OEC limit: ≤ 3% branch circuits, ≤ 5% total   |   Conductor: Copper, 75°C</t>
  </si>
  <si>
    <t xml:space="preserve">Voltage (V)</t>
  </si>
  <si>
    <t xml:space="preserve">Current (A)</t>
  </si>
  <si>
    <t xml:space="preserve">Cable Size (AWG)</t>
  </si>
  <si>
    <t xml:space="preserve">R (Ω/km)</t>
  </si>
  <si>
    <t xml:space="preserve">Length (m)</t>
  </si>
  <si>
    <t xml:space="preserve">VD (V)</t>
  </si>
  <si>
    <t xml:space="preserve">VD (%)</t>
  </si>
  <si>
    <t xml:space="preserve">Status</t>
  </si>
  <si>
    <t xml:space="preserve">#14 AWG</t>
  </si>
  <si>
    <t xml:space="preserve">#12 AWG</t>
  </si>
  <si>
    <t xml:space="preserve">#6 AWG</t>
  </si>
  <si>
    <t xml:space="preserve">CABLE SIZING &amp; SHORT-CIRCUIT ANALYSIS</t>
  </si>
  <si>
    <t xml:space="preserve">Short-circuit current: Isc = V / (√3 × Zs)   |   Cable ampacity per NEC Table 310.15(B)(16), Cu 75°C, conduit</t>
  </si>
  <si>
    <t xml:space="preserve">Cable AWG</t>
  </si>
  <si>
    <t xml:space="preserve">Ampacity (A)</t>
  </si>
  <si>
    <t xml:space="preserve">Margin (%)</t>
  </si>
  <si>
    <t xml:space="preserve">Conduit</t>
  </si>
  <si>
    <t xml:space="preserve">Fault Level (kA)</t>
  </si>
  <si>
    <t xml:space="preserve">Breaker Rating (A)</t>
  </si>
  <si>
    <t xml:space="preserve">3/4" EMT</t>
  </si>
  <si>
    <t xml:space="preserve">1" EMT</t>
  </si>
  <si>
    <t xml:space="preserve">CABLE RUN SHEET  ·  Building Electrical Distribution System</t>
  </si>
  <si>
    <t xml:space="preserve">Cable Tag</t>
  </si>
  <si>
    <t xml:space="preserve">From (Panel/DB)</t>
  </si>
  <si>
    <t xml:space="preserve">To (Load)</t>
  </si>
  <si>
    <t xml:space="preserve">Floor</t>
  </si>
  <si>
    <t xml:space="preserve">Cable Type</t>
  </si>
  <si>
    <t xml:space="preserve">Size</t>
  </si>
  <si>
    <t xml:space="preserve">No. Conductors</t>
  </si>
  <si>
    <t xml:space="preserve">Conduit Size</t>
  </si>
  <si>
    <t xml:space="preserve">Remarks</t>
  </si>
  <si>
    <t xml:space="preserve">CB-L1A</t>
  </si>
  <si>
    <t xml:space="preserve">MDB</t>
  </si>
  <si>
    <t xml:space="preserve">LP-1A</t>
  </si>
  <si>
    <t xml:space="preserve">B→1</t>
  </si>
  <si>
    <t xml:space="preserve">RW90</t>
  </si>
  <si>
    <t xml:space="preserve">3C</t>
  </si>
  <si>
    <t xml:space="preserve">EMT</t>
  </si>
  <si>
    <t xml:space="preserve">3/4"</t>
  </si>
  <si>
    <t xml:space="preserve">Lighting panel FL1</t>
  </si>
  <si>
    <t xml:space="preserve">CB-L1B</t>
  </si>
  <si>
    <t xml:space="preserve">LP-1B</t>
  </si>
  <si>
    <t xml:space="preserve">B→2</t>
  </si>
  <si>
    <t xml:space="preserve">Lighting panel FL2</t>
  </si>
  <si>
    <t xml:space="preserve">CB-L1C</t>
  </si>
  <si>
    <t xml:space="preserve">LP-1C</t>
  </si>
  <si>
    <t xml:space="preserve">B→3</t>
  </si>
  <si>
    <t xml:space="preserve">Lighting panel FL3</t>
  </si>
  <si>
    <t xml:space="preserve">CB-P1A</t>
  </si>
  <si>
    <t xml:space="preserve">PP-1A</t>
  </si>
  <si>
    <t xml:space="preserve">Power panel FL1</t>
  </si>
  <si>
    <t xml:space="preserve">CB-P1B</t>
  </si>
  <si>
    <t xml:space="preserve">PP-1B</t>
  </si>
  <si>
    <t xml:space="preserve">Power panel FL2</t>
  </si>
  <si>
    <t xml:space="preserve">CB-P1C</t>
  </si>
  <si>
    <t xml:space="preserve">PP-1C</t>
  </si>
  <si>
    <t xml:space="preserve">Power panel FL3</t>
  </si>
  <si>
    <t xml:space="preserve">CB-H1</t>
  </si>
  <si>
    <t xml:space="preserve">HVAC-1</t>
  </si>
  <si>
    <t xml:space="preserve">B→R</t>
  </si>
  <si>
    <t xml:space="preserve">4C</t>
  </si>
  <si>
    <t xml:space="preserve">1"</t>
  </si>
  <si>
    <t xml:space="preserve">AHU Unit 1, rooftop</t>
  </si>
  <si>
    <t xml:space="preserve">CB-H2</t>
  </si>
  <si>
    <t xml:space="preserve">HVAC-2</t>
  </si>
  <si>
    <t xml:space="preserve">AHU Unit 2, rooftop</t>
  </si>
  <si>
    <t xml:space="preserve">CB-EV</t>
  </si>
  <si>
    <t xml:space="preserve">ELEV</t>
  </si>
  <si>
    <t xml:space="preserve">Elevator motor</t>
  </si>
  <si>
    <t xml:space="preserve">CB-EL</t>
  </si>
  <si>
    <t xml:space="preserve">EL-PNL</t>
  </si>
  <si>
    <t xml:space="preserve">B→M</t>
  </si>
  <si>
    <t xml:space="preserve">Emergency lighting panel</t>
  </si>
  <si>
    <t xml:space="preserve">CB-FA</t>
  </si>
  <si>
    <t xml:space="preserve">FA-PNL</t>
  </si>
  <si>
    <t xml:space="preserve">B→G</t>
  </si>
  <si>
    <t xml:space="preserve">Fire alarm main panel</t>
  </si>
  <si>
    <t xml:space="preserve">CB-UTL</t>
  </si>
  <si>
    <t xml:space="preserve">UTIL</t>
  </si>
  <si>
    <t xml:space="preserve">EXT</t>
  </si>
  <si>
    <t xml:space="preserve">XLPE</t>
  </si>
  <si>
    <t xml:space="preserve">250 MCM</t>
  </si>
  <si>
    <t xml:space="preserve">PVC</t>
  </si>
  <si>
    <t xml:space="preserve">3"</t>
  </si>
  <si>
    <t xml:space="preserve">Utility service entrance</t>
  </si>
  <si>
    <t xml:space="preserve">TOTAL CABLE LENGTH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</si>
</sst>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"/>
    <numFmt numFmtId="167" formatCode="0.0"/>
    <numFmt numFmtId="168" formatCode="0.0\%"/>
    <numFmt numFmtId="169" formatCode="0.0&quot; kA&quot;"/>
    <numFmt numFmtId="170" formatCode="#,##0&quot; A&quot;"/>
    <numFmt numFmtId="171" formatCode="#,##0&quot; m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1A2E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2E4A"/>
      <name val="Arial"/>
      <family val="0"/>
      <charset val="1"/>
    </font>
    <font>
      <b val="true"/>
      <sz val="10"/>
      <color rgb="FF1A2E4A"/>
      <name val="Arial"/>
      <family val="0"/>
      <charset val="1"/>
    </font>
    <font>
      <sz val="10"/>
      <color rgb="FF37415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EF3C7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1A2E4A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FEF3C7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2E4A"/>
        <bgColor rgb="FF374151"/>
      </patternFill>
    </fill>
    <fill>
      <patternFill patternType="solid">
        <fgColor rgb="FFDBEAFE"/>
        <bgColor rgb="FFEFF6FF"/>
      </patternFill>
    </fill>
    <fill>
      <patternFill patternType="solid">
        <fgColor rgb="FF2563EB"/>
        <bgColor rgb="FF0066CC"/>
      </patternFill>
    </fill>
    <fill>
      <patternFill patternType="solid">
        <fgColor rgb="FFBFDBFE"/>
        <bgColor rgb="FFDBEAFE"/>
      </patternFill>
    </fill>
    <fill>
      <patternFill patternType="solid">
        <fgColor rgb="FFEFF6FF"/>
        <bgColor rgb="FFF8FAFC"/>
      </patternFill>
    </fill>
    <fill>
      <patternFill patternType="solid">
        <fgColor rgb="FFBBF7D0"/>
        <bgColor rgb="FFDBEAFE"/>
      </patternFill>
    </fill>
    <fill>
      <patternFill patternType="solid">
        <fgColor rgb="FFF0FDF4"/>
        <bgColor rgb="FFF8FAFC"/>
      </patternFill>
    </fill>
    <fill>
      <patternFill patternType="solid">
        <fgColor rgb="FFFDE68A"/>
        <bgColor rgb="FFFEF3C7"/>
      </patternFill>
    </fill>
    <fill>
      <patternFill patternType="solid">
        <fgColor rgb="FFFFFBEB"/>
        <bgColor rgb="FFF8FAFC"/>
      </patternFill>
    </fill>
    <fill>
      <patternFill patternType="solid">
        <fgColor rgb="FFFECDD3"/>
        <bgColor rgb="FFCCCCCC"/>
      </patternFill>
    </fill>
    <fill>
      <patternFill patternType="solid">
        <fgColor rgb="FFFFF1F2"/>
        <bgColor rgb="FFFFFBEB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E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BBF7D0"/>
      <rgbColor rgb="FFFDE68A"/>
      <rgbColor rgb="FFEFF6FF"/>
      <rgbColor rgb="FFFFF1F2"/>
      <rgbColor rgb="FFF8FAFC"/>
      <rgbColor rgb="FFFECDD3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1A2E4A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.75" hidden="false" customHeight="tru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8" hidden="false" customHeight="true" outlineLevel="0" collapsed="false">
      <c r="A6" s="5" t="s">
        <v>11</v>
      </c>
      <c r="B6" s="6" t="s">
        <v>12</v>
      </c>
      <c r="C6" s="7" t="s">
        <v>13</v>
      </c>
      <c r="D6" s="8" t="n">
        <v>24</v>
      </c>
      <c r="E6" s="8" t="n">
        <v>60</v>
      </c>
      <c r="F6" s="9" t="n">
        <f aca="false">D6*E6</f>
        <v>1440</v>
      </c>
      <c r="G6" s="10" t="n">
        <v>0.85</v>
      </c>
      <c r="H6" s="11" t="n">
        <f aca="false">F6*G6</f>
        <v>1224</v>
      </c>
    </row>
    <row r="7" customFormat="false" ht="18" hidden="false" customHeight="true" outlineLevel="0" collapsed="false">
      <c r="A7" s="5" t="s">
        <v>14</v>
      </c>
      <c r="B7" s="6" t="s">
        <v>12</v>
      </c>
      <c r="C7" s="7" t="s">
        <v>15</v>
      </c>
      <c r="D7" s="8" t="n">
        <v>24</v>
      </c>
      <c r="E7" s="8" t="n">
        <v>60</v>
      </c>
      <c r="F7" s="9" t="n">
        <f aca="false">D7*E7</f>
        <v>1440</v>
      </c>
      <c r="G7" s="10" t="n">
        <v>0.85</v>
      </c>
      <c r="H7" s="11" t="n">
        <f aca="false">F7*G7</f>
        <v>1224</v>
      </c>
    </row>
    <row r="8" customFormat="false" ht="18" hidden="false" customHeight="true" outlineLevel="0" collapsed="false">
      <c r="A8" s="5" t="s">
        <v>16</v>
      </c>
      <c r="B8" s="6" t="s">
        <v>12</v>
      </c>
      <c r="C8" s="7" t="s">
        <v>17</v>
      </c>
      <c r="D8" s="8" t="n">
        <v>24</v>
      </c>
      <c r="E8" s="8" t="n">
        <v>60</v>
      </c>
      <c r="F8" s="9" t="n">
        <f aca="false">D8*E8</f>
        <v>1440</v>
      </c>
      <c r="G8" s="10" t="n">
        <v>0.85</v>
      </c>
      <c r="H8" s="11" t="n">
        <f aca="false">F8*G8</f>
        <v>1224</v>
      </c>
    </row>
    <row r="9" customFormat="false" ht="18" hidden="false" customHeight="true" outlineLevel="0" collapsed="false">
      <c r="A9" s="5" t="s">
        <v>18</v>
      </c>
      <c r="B9" s="6" t="s">
        <v>19</v>
      </c>
      <c r="C9" s="7" t="s">
        <v>13</v>
      </c>
      <c r="D9" s="8" t="n">
        <v>10</v>
      </c>
      <c r="E9" s="8" t="n">
        <v>40</v>
      </c>
      <c r="F9" s="9" t="n">
        <f aca="false">D9*E9</f>
        <v>400</v>
      </c>
      <c r="G9" s="10" t="n">
        <v>0.8</v>
      </c>
      <c r="H9" s="11" t="n">
        <f aca="false">F9*G9</f>
        <v>320</v>
      </c>
    </row>
    <row r="10" customFormat="false" ht="18" hidden="false" customHeight="true" outlineLevel="0" collapsed="false">
      <c r="A10" s="5" t="s">
        <v>20</v>
      </c>
      <c r="B10" s="6" t="s">
        <v>19</v>
      </c>
      <c r="C10" s="7" t="s">
        <v>15</v>
      </c>
      <c r="D10" s="8" t="n">
        <v>10</v>
      </c>
      <c r="E10" s="8" t="n">
        <v>40</v>
      </c>
      <c r="F10" s="9" t="n">
        <f aca="false">D10*E10</f>
        <v>400</v>
      </c>
      <c r="G10" s="10" t="n">
        <v>0.8</v>
      </c>
      <c r="H10" s="11" t="n">
        <f aca="false">F10*G10</f>
        <v>320</v>
      </c>
    </row>
    <row r="11" customFormat="false" ht="18" hidden="false" customHeight="true" outlineLevel="0" collapsed="false">
      <c r="A11" s="5" t="s">
        <v>21</v>
      </c>
      <c r="B11" s="6" t="s">
        <v>19</v>
      </c>
      <c r="C11" s="7" t="s">
        <v>17</v>
      </c>
      <c r="D11" s="8" t="n">
        <v>10</v>
      </c>
      <c r="E11" s="8" t="n">
        <v>40</v>
      </c>
      <c r="F11" s="9" t="n">
        <f aca="false">D11*E11</f>
        <v>400</v>
      </c>
      <c r="G11" s="10" t="n">
        <v>0.8</v>
      </c>
      <c r="H11" s="11" t="n">
        <f aca="false">F11*G11</f>
        <v>320</v>
      </c>
    </row>
    <row r="12" customFormat="false" ht="15.75" hidden="false" customHeight="true" outlineLevel="0" collapsed="false">
      <c r="A12" s="12" t="s">
        <v>22</v>
      </c>
      <c r="B12" s="12"/>
      <c r="C12" s="12"/>
      <c r="D12" s="12"/>
      <c r="E12" s="12"/>
      <c r="F12" s="12"/>
      <c r="G12" s="12"/>
      <c r="H12" s="12"/>
    </row>
    <row r="13" customFormat="false" ht="18" hidden="false" customHeight="true" outlineLevel="0" collapsed="false">
      <c r="A13" s="13" t="s">
        <v>23</v>
      </c>
      <c r="B13" s="14" t="s">
        <v>24</v>
      </c>
      <c r="C13" s="15" t="s">
        <v>13</v>
      </c>
      <c r="D13" s="16" t="n">
        <v>36</v>
      </c>
      <c r="E13" s="16" t="n">
        <v>180</v>
      </c>
      <c r="F13" s="17" t="n">
        <f aca="false">D13*E13</f>
        <v>6480</v>
      </c>
      <c r="G13" s="18" t="n">
        <v>0.5</v>
      </c>
      <c r="H13" s="19" t="n">
        <f aca="false">F13*G13</f>
        <v>3240</v>
      </c>
    </row>
    <row r="14" customFormat="false" ht="18" hidden="false" customHeight="true" outlineLevel="0" collapsed="false">
      <c r="A14" s="13" t="s">
        <v>25</v>
      </c>
      <c r="B14" s="14" t="s">
        <v>24</v>
      </c>
      <c r="C14" s="15" t="s">
        <v>15</v>
      </c>
      <c r="D14" s="16" t="n">
        <v>36</v>
      </c>
      <c r="E14" s="16" t="n">
        <v>180</v>
      </c>
      <c r="F14" s="17" t="n">
        <f aca="false">D14*E14</f>
        <v>6480</v>
      </c>
      <c r="G14" s="18" t="n">
        <v>0.5</v>
      </c>
      <c r="H14" s="19" t="n">
        <f aca="false">F14*G14</f>
        <v>3240</v>
      </c>
    </row>
    <row r="15" customFormat="false" ht="18" hidden="false" customHeight="true" outlineLevel="0" collapsed="false">
      <c r="A15" s="13" t="s">
        <v>26</v>
      </c>
      <c r="B15" s="14" t="s">
        <v>24</v>
      </c>
      <c r="C15" s="15" t="s">
        <v>17</v>
      </c>
      <c r="D15" s="16" t="n">
        <v>36</v>
      </c>
      <c r="E15" s="16" t="n">
        <v>180</v>
      </c>
      <c r="F15" s="17" t="n">
        <f aca="false">D15*E15</f>
        <v>6480</v>
      </c>
      <c r="G15" s="18" t="n">
        <v>0.5</v>
      </c>
      <c r="H15" s="19" t="n">
        <f aca="false">F15*G15</f>
        <v>3240</v>
      </c>
    </row>
    <row r="16" customFormat="false" ht="18" hidden="false" customHeight="true" outlineLevel="0" collapsed="false">
      <c r="A16" s="13" t="s">
        <v>27</v>
      </c>
      <c r="B16" s="14" t="s">
        <v>28</v>
      </c>
      <c r="C16" s="15" t="s">
        <v>13</v>
      </c>
      <c r="D16" s="16" t="n">
        <v>12</v>
      </c>
      <c r="E16" s="16" t="n">
        <v>300</v>
      </c>
      <c r="F16" s="17" t="n">
        <f aca="false">D16*E16</f>
        <v>3600</v>
      </c>
      <c r="G16" s="18" t="n">
        <v>0.7</v>
      </c>
      <c r="H16" s="19" t="n">
        <f aca="false">F16*G16</f>
        <v>2520</v>
      </c>
    </row>
    <row r="17" customFormat="false" ht="18" hidden="false" customHeight="true" outlineLevel="0" collapsed="false">
      <c r="A17" s="13" t="s">
        <v>29</v>
      </c>
      <c r="B17" s="14" t="s">
        <v>28</v>
      </c>
      <c r="C17" s="15" t="s">
        <v>15</v>
      </c>
      <c r="D17" s="16" t="n">
        <v>12</v>
      </c>
      <c r="E17" s="16" t="n">
        <v>300</v>
      </c>
      <c r="F17" s="17" t="n">
        <f aca="false">D17*E17</f>
        <v>3600</v>
      </c>
      <c r="G17" s="18" t="n">
        <v>0.7</v>
      </c>
      <c r="H17" s="19" t="n">
        <f aca="false">F17*G17</f>
        <v>2520</v>
      </c>
    </row>
    <row r="18" customFormat="false" ht="18" hidden="false" customHeight="true" outlineLevel="0" collapsed="false">
      <c r="A18" s="13" t="s">
        <v>30</v>
      </c>
      <c r="B18" s="14" t="s">
        <v>28</v>
      </c>
      <c r="C18" s="15" t="s">
        <v>17</v>
      </c>
      <c r="D18" s="16" t="n">
        <v>12</v>
      </c>
      <c r="E18" s="16" t="n">
        <v>300</v>
      </c>
      <c r="F18" s="17" t="n">
        <f aca="false">D18*E18</f>
        <v>3600</v>
      </c>
      <c r="G18" s="18" t="n">
        <v>0.7</v>
      </c>
      <c r="H18" s="19" t="n">
        <f aca="false">F18*G18</f>
        <v>2520</v>
      </c>
    </row>
    <row r="19" customFormat="false" ht="15.75" hidden="false" customHeight="true" outlineLevel="0" collapsed="false">
      <c r="A19" s="20" t="s">
        <v>31</v>
      </c>
      <c r="B19" s="20"/>
      <c r="C19" s="20"/>
      <c r="D19" s="20"/>
      <c r="E19" s="20"/>
      <c r="F19" s="20"/>
      <c r="G19" s="20"/>
      <c r="H19" s="20"/>
    </row>
    <row r="20" customFormat="false" ht="18" hidden="false" customHeight="true" outlineLevel="0" collapsed="false">
      <c r="A20" s="21" t="s">
        <v>32</v>
      </c>
      <c r="B20" s="22" t="s">
        <v>33</v>
      </c>
      <c r="C20" s="23" t="s">
        <v>34</v>
      </c>
      <c r="D20" s="24" t="n">
        <v>1</v>
      </c>
      <c r="E20" s="24" t="n">
        <v>8000</v>
      </c>
      <c r="F20" s="25" t="n">
        <f aca="false">D20*E20</f>
        <v>8000</v>
      </c>
      <c r="G20" s="26" t="n">
        <v>1</v>
      </c>
      <c r="H20" s="27" t="n">
        <f aca="false">F20*G20</f>
        <v>8000</v>
      </c>
    </row>
    <row r="21" customFormat="false" ht="18" hidden="false" customHeight="true" outlineLevel="0" collapsed="false">
      <c r="A21" s="21" t="s">
        <v>35</v>
      </c>
      <c r="B21" s="22" t="s">
        <v>36</v>
      </c>
      <c r="C21" s="23" t="s">
        <v>34</v>
      </c>
      <c r="D21" s="24" t="n">
        <v>1</v>
      </c>
      <c r="E21" s="24" t="n">
        <v>6000</v>
      </c>
      <c r="F21" s="25" t="n">
        <f aca="false">D21*E21</f>
        <v>6000</v>
      </c>
      <c r="G21" s="26" t="n">
        <v>1</v>
      </c>
      <c r="H21" s="27" t="n">
        <f aca="false">F21*G21</f>
        <v>6000</v>
      </c>
    </row>
    <row r="22" customFormat="false" ht="18" hidden="false" customHeight="true" outlineLevel="0" collapsed="false">
      <c r="A22" s="21" t="s">
        <v>37</v>
      </c>
      <c r="B22" s="22" t="s">
        <v>38</v>
      </c>
      <c r="C22" s="23" t="s">
        <v>39</v>
      </c>
      <c r="D22" s="24" t="n">
        <v>1</v>
      </c>
      <c r="E22" s="24" t="n">
        <v>7500</v>
      </c>
      <c r="F22" s="25" t="n">
        <f aca="false">D22*E22</f>
        <v>7500</v>
      </c>
      <c r="G22" s="26" t="n">
        <v>1</v>
      </c>
      <c r="H22" s="27" t="n">
        <f aca="false">F22*G22</f>
        <v>7500</v>
      </c>
    </row>
    <row r="23" customFormat="false" ht="15.75" hidden="false" customHeight="true" outlineLevel="0" collapsed="false">
      <c r="A23" s="28" t="s">
        <v>40</v>
      </c>
      <c r="B23" s="28"/>
      <c r="C23" s="28"/>
      <c r="D23" s="28"/>
      <c r="E23" s="28"/>
      <c r="F23" s="28"/>
      <c r="G23" s="28"/>
      <c r="H23" s="28"/>
    </row>
    <row r="24" customFormat="false" ht="18" hidden="false" customHeight="true" outlineLevel="0" collapsed="false">
      <c r="A24" s="29" t="s">
        <v>41</v>
      </c>
      <c r="B24" s="30" t="s">
        <v>42</v>
      </c>
      <c r="C24" s="31" t="s">
        <v>43</v>
      </c>
      <c r="D24" s="32" t="n">
        <v>14</v>
      </c>
      <c r="E24" s="32" t="n">
        <v>40</v>
      </c>
      <c r="F24" s="33" t="n">
        <f aca="false">D24*E24</f>
        <v>560</v>
      </c>
      <c r="G24" s="34" t="n">
        <v>1</v>
      </c>
      <c r="H24" s="35" t="n">
        <f aca="false">F24*G24</f>
        <v>560</v>
      </c>
    </row>
    <row r="25" customFormat="false" ht="18" hidden="false" customHeight="true" outlineLevel="0" collapsed="false">
      <c r="A25" s="29" t="s">
        <v>44</v>
      </c>
      <c r="B25" s="30" t="s">
        <v>45</v>
      </c>
      <c r="C25" s="31" t="s">
        <v>46</v>
      </c>
      <c r="D25" s="32" t="n">
        <v>1</v>
      </c>
      <c r="E25" s="32" t="n">
        <v>500</v>
      </c>
      <c r="F25" s="33" t="n">
        <f aca="false">D25*E25</f>
        <v>500</v>
      </c>
      <c r="G25" s="34" t="n">
        <v>1</v>
      </c>
      <c r="H25" s="35" t="n">
        <f aca="false">F25*G25</f>
        <v>500</v>
      </c>
    </row>
    <row r="26" customFormat="false" ht="18" hidden="false" customHeight="true" outlineLevel="0" collapsed="false">
      <c r="A26" s="29" t="s">
        <v>47</v>
      </c>
      <c r="B26" s="30" t="s">
        <v>48</v>
      </c>
      <c r="C26" s="31" t="s">
        <v>43</v>
      </c>
      <c r="D26" s="32" t="n">
        <v>1</v>
      </c>
      <c r="E26" s="32" t="n">
        <v>800</v>
      </c>
      <c r="F26" s="33" t="n">
        <f aca="false">D26*E26</f>
        <v>800</v>
      </c>
      <c r="G26" s="34" t="n">
        <v>1</v>
      </c>
      <c r="H26" s="35" t="n">
        <f aca="false">F26*G26</f>
        <v>800</v>
      </c>
    </row>
    <row r="27" customFormat="false" ht="21.75" hidden="false" customHeight="true" outlineLevel="0" collapsed="false">
      <c r="A27" s="36" t="s">
        <v>49</v>
      </c>
      <c r="B27" s="36"/>
      <c r="C27" s="36"/>
      <c r="D27" s="36"/>
      <c r="E27" s="36"/>
      <c r="F27" s="37"/>
      <c r="G27" s="37"/>
      <c r="H27" s="38" t="n">
        <f aca="false">SUM(H5:H26)</f>
        <v>45272</v>
      </c>
    </row>
    <row r="29" customFormat="false" ht="15" hidden="false" customHeight="true" outlineLevel="0" collapsed="false">
      <c r="A29" s="39" t="s">
        <v>50</v>
      </c>
      <c r="B29" s="39"/>
      <c r="C29" s="39"/>
      <c r="D29" s="39"/>
      <c r="E29" s="39"/>
      <c r="F29" s="39"/>
      <c r="G29" s="39"/>
      <c r="H29" s="39"/>
    </row>
  </sheetData>
  <mergeCells count="8">
    <mergeCell ref="A1:H1"/>
    <mergeCell ref="A2:H2"/>
    <mergeCell ref="A5:H5"/>
    <mergeCell ref="A12:H12"/>
    <mergeCell ref="A19:H19"/>
    <mergeCell ref="A23:H23"/>
    <mergeCell ref="A27:E27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5" min="5" style="0" width="14"/>
    <col collapsed="false" customWidth="true" hidden="false" outlineLevel="0" max="9" min="6" style="0" width="11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40" t="s">
        <v>51</v>
      </c>
      <c r="B1" s="40"/>
      <c r="C1" s="40"/>
      <c r="D1" s="40"/>
      <c r="E1" s="40"/>
      <c r="F1" s="40"/>
      <c r="G1" s="40"/>
      <c r="H1" s="40"/>
      <c r="I1" s="40"/>
      <c r="J1" s="40"/>
    </row>
    <row r="2" customFormat="false" ht="15.75" hidden="false" customHeight="true" outlineLevel="0" collapsed="false">
      <c r="A2" s="41" t="s">
        <v>52</v>
      </c>
      <c r="B2" s="41"/>
      <c r="C2" s="41"/>
      <c r="D2" s="41"/>
      <c r="E2" s="41"/>
      <c r="F2" s="41"/>
      <c r="G2" s="41"/>
      <c r="H2" s="41"/>
      <c r="I2" s="41"/>
      <c r="J2" s="41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9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60</v>
      </c>
    </row>
    <row r="5" customFormat="false" ht="18" hidden="false" customHeight="true" outlineLevel="0" collapsed="false">
      <c r="A5" s="42" t="s">
        <v>11</v>
      </c>
      <c r="B5" s="43" t="n">
        <v>1020</v>
      </c>
      <c r="C5" s="43" t="n">
        <v>120</v>
      </c>
      <c r="D5" s="44" t="n">
        <f aca="false">B5/C5</f>
        <v>8.5</v>
      </c>
      <c r="E5" s="45" t="s">
        <v>61</v>
      </c>
      <c r="F5" s="46" t="n">
        <v>10.45</v>
      </c>
      <c r="G5" s="43" t="n">
        <v>35</v>
      </c>
      <c r="H5" s="47" t="n">
        <f aca="false">(2*G5*D5*F5)/1000</f>
        <v>6.21775</v>
      </c>
      <c r="I5" s="48" t="n">
        <f aca="false">H5/C5*100</f>
        <v>5.18145833333333</v>
      </c>
      <c r="J5" s="49" t="str">
        <f aca="false">IF(I5&lt;=3,"✓ PASS","✗ FAIL")</f>
        <v>✗ FAIL</v>
      </c>
    </row>
    <row r="6" customFormat="false" ht="18" hidden="false" customHeight="true" outlineLevel="0" collapsed="false">
      <c r="A6" s="50" t="s">
        <v>14</v>
      </c>
      <c r="B6" s="51" t="n">
        <v>1020</v>
      </c>
      <c r="C6" s="51" t="n">
        <v>120</v>
      </c>
      <c r="D6" s="52" t="n">
        <f aca="false">B6/C6</f>
        <v>8.5</v>
      </c>
      <c r="E6" s="53" t="s">
        <v>61</v>
      </c>
      <c r="F6" s="54" t="n">
        <v>10.45</v>
      </c>
      <c r="G6" s="51" t="n">
        <v>40</v>
      </c>
      <c r="H6" s="55" t="n">
        <f aca="false">(2*G6*D6*F6)/1000</f>
        <v>7.106</v>
      </c>
      <c r="I6" s="56" t="n">
        <f aca="false">H6/C6*100</f>
        <v>5.92166666666667</v>
      </c>
      <c r="J6" s="57" t="str">
        <f aca="false">IF(I6&lt;=3,"✓ PASS","✗ FAIL")</f>
        <v>✗ FAIL</v>
      </c>
    </row>
    <row r="7" customFormat="false" ht="18" hidden="false" customHeight="true" outlineLevel="0" collapsed="false">
      <c r="A7" s="42" t="s">
        <v>16</v>
      </c>
      <c r="B7" s="43" t="n">
        <v>1020</v>
      </c>
      <c r="C7" s="43" t="n">
        <v>120</v>
      </c>
      <c r="D7" s="44" t="n">
        <f aca="false">B7/C7</f>
        <v>8.5</v>
      </c>
      <c r="E7" s="45" t="s">
        <v>61</v>
      </c>
      <c r="F7" s="46" t="n">
        <v>10.45</v>
      </c>
      <c r="G7" s="43" t="n">
        <v>45</v>
      </c>
      <c r="H7" s="47" t="n">
        <f aca="false">(2*G7*D7*F7)/1000</f>
        <v>7.99425</v>
      </c>
      <c r="I7" s="48" t="n">
        <f aca="false">H7/C7*100</f>
        <v>6.661875</v>
      </c>
      <c r="J7" s="49" t="str">
        <f aca="false">IF(I7&lt;=3,"✓ PASS","✗ FAIL")</f>
        <v>✗ FAIL</v>
      </c>
    </row>
    <row r="8" customFormat="false" ht="18" hidden="false" customHeight="true" outlineLevel="0" collapsed="false">
      <c r="A8" s="50" t="s">
        <v>23</v>
      </c>
      <c r="B8" s="51" t="n">
        <v>2700</v>
      </c>
      <c r="C8" s="51" t="n">
        <v>120</v>
      </c>
      <c r="D8" s="52" t="n">
        <f aca="false">B8/C8</f>
        <v>22.5</v>
      </c>
      <c r="E8" s="53" t="s">
        <v>62</v>
      </c>
      <c r="F8" s="54" t="n">
        <v>6.56</v>
      </c>
      <c r="G8" s="51" t="n">
        <v>30</v>
      </c>
      <c r="H8" s="55" t="n">
        <f aca="false">(2*G8*D8*F8)/1000</f>
        <v>8.856</v>
      </c>
      <c r="I8" s="56" t="n">
        <f aca="false">H8/C8*100</f>
        <v>7.38</v>
      </c>
      <c r="J8" s="57" t="str">
        <f aca="false">IF(I8&lt;=3,"✓ PASS","✗ FAIL")</f>
        <v>✗ FAIL</v>
      </c>
    </row>
    <row r="9" customFormat="false" ht="18" hidden="false" customHeight="true" outlineLevel="0" collapsed="false">
      <c r="A9" s="42" t="s">
        <v>25</v>
      </c>
      <c r="B9" s="43" t="n">
        <v>2700</v>
      </c>
      <c r="C9" s="43" t="n">
        <v>120</v>
      </c>
      <c r="D9" s="44" t="n">
        <f aca="false">B9/C9</f>
        <v>22.5</v>
      </c>
      <c r="E9" s="45" t="s">
        <v>62</v>
      </c>
      <c r="F9" s="46" t="n">
        <v>6.56</v>
      </c>
      <c r="G9" s="43" t="n">
        <v>35</v>
      </c>
      <c r="H9" s="47" t="n">
        <f aca="false">(2*G9*D9*F9)/1000</f>
        <v>10.332</v>
      </c>
      <c r="I9" s="48" t="n">
        <f aca="false">H9/C9*100</f>
        <v>8.61</v>
      </c>
      <c r="J9" s="49" t="str">
        <f aca="false">IF(I9&lt;=3,"✓ PASS","✗ FAIL")</f>
        <v>✗ FAIL</v>
      </c>
    </row>
    <row r="10" customFormat="false" ht="18" hidden="false" customHeight="true" outlineLevel="0" collapsed="false">
      <c r="A10" s="50" t="s">
        <v>26</v>
      </c>
      <c r="B10" s="51" t="n">
        <v>2700</v>
      </c>
      <c r="C10" s="51" t="n">
        <v>120</v>
      </c>
      <c r="D10" s="52" t="n">
        <f aca="false">B10/C10</f>
        <v>22.5</v>
      </c>
      <c r="E10" s="53" t="s">
        <v>62</v>
      </c>
      <c r="F10" s="54" t="n">
        <v>6.56</v>
      </c>
      <c r="G10" s="51" t="n">
        <v>40</v>
      </c>
      <c r="H10" s="55" t="n">
        <f aca="false">(2*G10*D10*F10)/1000</f>
        <v>11.808</v>
      </c>
      <c r="I10" s="56" t="n">
        <f aca="false">H10/C10*100</f>
        <v>9.84</v>
      </c>
      <c r="J10" s="57" t="str">
        <f aca="false">IF(I10&lt;=3,"✓ PASS","✗ FAIL")</f>
        <v>✗ FAIL</v>
      </c>
    </row>
    <row r="11" customFormat="false" ht="18" hidden="false" customHeight="true" outlineLevel="0" collapsed="false">
      <c r="A11" s="42" t="s">
        <v>27</v>
      </c>
      <c r="B11" s="43" t="n">
        <v>2520</v>
      </c>
      <c r="C11" s="43" t="n">
        <v>120</v>
      </c>
      <c r="D11" s="44" t="n">
        <f aca="false">B11/C11</f>
        <v>21</v>
      </c>
      <c r="E11" s="45" t="s">
        <v>62</v>
      </c>
      <c r="F11" s="46" t="n">
        <v>6.56</v>
      </c>
      <c r="G11" s="43" t="n">
        <v>30</v>
      </c>
      <c r="H11" s="47" t="n">
        <f aca="false">(2*G11*D11*F11)/1000</f>
        <v>8.2656</v>
      </c>
      <c r="I11" s="48" t="n">
        <f aca="false">H11/C11*100</f>
        <v>6.888</v>
      </c>
      <c r="J11" s="49" t="str">
        <f aca="false">IF(I11&lt;=3,"✓ PASS","✗ FAIL")</f>
        <v>✗ FAIL</v>
      </c>
    </row>
    <row r="12" customFormat="false" ht="18" hidden="false" customHeight="true" outlineLevel="0" collapsed="false">
      <c r="A12" s="50" t="s">
        <v>32</v>
      </c>
      <c r="B12" s="51" t="n">
        <v>8000</v>
      </c>
      <c r="C12" s="51" t="n">
        <v>208</v>
      </c>
      <c r="D12" s="52" t="n">
        <f aca="false">B12/C12</f>
        <v>38.4615384615385</v>
      </c>
      <c r="E12" s="53" t="s">
        <v>63</v>
      </c>
      <c r="F12" s="54" t="n">
        <v>1.65</v>
      </c>
      <c r="G12" s="51" t="n">
        <v>15</v>
      </c>
      <c r="H12" s="55" t="n">
        <f aca="false">(2*G12*D12*F12)/1000</f>
        <v>1.90384615384615</v>
      </c>
      <c r="I12" s="56" t="n">
        <f aca="false">H12/C12*100</f>
        <v>0.915310650887574</v>
      </c>
      <c r="J12" s="57" t="str">
        <f aca="false">IF(I12&lt;=3,"✓ PASS","✗ FAIL")</f>
        <v>✓ PASS</v>
      </c>
    </row>
    <row r="13" customFormat="false" ht="18" hidden="false" customHeight="true" outlineLevel="0" collapsed="false">
      <c r="A13" s="42" t="s">
        <v>35</v>
      </c>
      <c r="B13" s="43" t="n">
        <v>6000</v>
      </c>
      <c r="C13" s="43" t="n">
        <v>208</v>
      </c>
      <c r="D13" s="44" t="n">
        <f aca="false">B13/C13</f>
        <v>28.8461538461538</v>
      </c>
      <c r="E13" s="45" t="s">
        <v>63</v>
      </c>
      <c r="F13" s="46" t="n">
        <v>1.65</v>
      </c>
      <c r="G13" s="43" t="n">
        <v>15</v>
      </c>
      <c r="H13" s="47" t="n">
        <f aca="false">(2*G13*D13*F13)/1000</f>
        <v>1.42788461538462</v>
      </c>
      <c r="I13" s="48" t="n">
        <f aca="false">H13/C13*100</f>
        <v>0.68648298816568</v>
      </c>
      <c r="J13" s="49" t="str">
        <f aca="false">IF(I13&lt;=3,"✓ PASS","✗ FAIL")</f>
        <v>✓ PASS</v>
      </c>
    </row>
    <row r="14" customFormat="false" ht="18" hidden="false" customHeight="true" outlineLevel="0" collapsed="false">
      <c r="A14" s="50" t="s">
        <v>37</v>
      </c>
      <c r="B14" s="51" t="n">
        <v>7500</v>
      </c>
      <c r="C14" s="51" t="n">
        <v>208</v>
      </c>
      <c r="D14" s="52" t="n">
        <f aca="false">B14/C14</f>
        <v>36.0576923076923</v>
      </c>
      <c r="E14" s="53" t="s">
        <v>63</v>
      </c>
      <c r="F14" s="54" t="n">
        <v>1.65</v>
      </c>
      <c r="G14" s="51" t="n">
        <v>20</v>
      </c>
      <c r="H14" s="55" t="n">
        <f aca="false">(2*G14*D14*F14)/1000</f>
        <v>2.37980769230769</v>
      </c>
      <c r="I14" s="56" t="n">
        <f aca="false">H14/C14*100</f>
        <v>1.14413831360947</v>
      </c>
      <c r="J14" s="57" t="str">
        <f aca="false">IF(I14&lt;=3,"✓ PASS","✗ FAIL")</f>
        <v>✓ PASS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6"/>
  </cols>
  <sheetData>
    <row r="1" customFormat="false" ht="25.5" hidden="false" customHeight="true" outlineLevel="0" collapsed="false">
      <c r="A1" s="40" t="s">
        <v>64</v>
      </c>
      <c r="B1" s="40"/>
      <c r="C1" s="40"/>
      <c r="D1" s="40"/>
      <c r="E1" s="40"/>
      <c r="F1" s="40"/>
      <c r="G1" s="40"/>
      <c r="H1" s="40"/>
      <c r="I1" s="40"/>
    </row>
    <row r="2" customFormat="false" ht="15.75" hidden="false" customHeight="true" outlineLevel="0" collapsed="false">
      <c r="A2" s="41" t="s">
        <v>65</v>
      </c>
      <c r="B2" s="41"/>
      <c r="C2" s="41"/>
      <c r="D2" s="41"/>
      <c r="E2" s="41"/>
      <c r="F2" s="41"/>
      <c r="G2" s="41"/>
      <c r="H2" s="41"/>
      <c r="I2" s="41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9</v>
      </c>
      <c r="C4" s="3" t="s">
        <v>54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</row>
    <row r="5" customFormat="false" ht="18" hidden="false" customHeight="true" outlineLevel="0" collapsed="false">
      <c r="A5" s="42" t="s">
        <v>11</v>
      </c>
      <c r="B5" s="43" t="n">
        <v>1020</v>
      </c>
      <c r="C5" s="44" t="n">
        <f aca="false">B5/120</f>
        <v>8.5</v>
      </c>
      <c r="D5" s="45" t="s">
        <v>61</v>
      </c>
      <c r="E5" s="43" t="n">
        <v>15</v>
      </c>
      <c r="F5" s="58" t="n">
        <f aca="false">(E5-C5)/E5*100</f>
        <v>43.3333333333333</v>
      </c>
      <c r="G5" s="45" t="s">
        <v>72</v>
      </c>
      <c r="H5" s="59" t="n">
        <v>10</v>
      </c>
      <c r="I5" s="60" t="n">
        <v>15</v>
      </c>
    </row>
    <row r="6" customFormat="false" ht="18" hidden="false" customHeight="true" outlineLevel="0" collapsed="false">
      <c r="A6" s="50" t="s">
        <v>14</v>
      </c>
      <c r="B6" s="51" t="n">
        <v>1020</v>
      </c>
      <c r="C6" s="52" t="n">
        <f aca="false">B6/120</f>
        <v>8.5</v>
      </c>
      <c r="D6" s="53" t="s">
        <v>61</v>
      </c>
      <c r="E6" s="51" t="n">
        <v>15</v>
      </c>
      <c r="F6" s="61" t="n">
        <f aca="false">(E6-C6)/E6*100</f>
        <v>43.3333333333333</v>
      </c>
      <c r="G6" s="53" t="s">
        <v>72</v>
      </c>
      <c r="H6" s="62" t="n">
        <v>10</v>
      </c>
      <c r="I6" s="63" t="n">
        <v>15</v>
      </c>
    </row>
    <row r="7" customFormat="false" ht="18" hidden="false" customHeight="true" outlineLevel="0" collapsed="false">
      <c r="A7" s="42" t="s">
        <v>16</v>
      </c>
      <c r="B7" s="43" t="n">
        <v>1020</v>
      </c>
      <c r="C7" s="44" t="n">
        <f aca="false">B7/120</f>
        <v>8.5</v>
      </c>
      <c r="D7" s="45" t="s">
        <v>61</v>
      </c>
      <c r="E7" s="43" t="n">
        <v>15</v>
      </c>
      <c r="F7" s="58" t="n">
        <f aca="false">(E7-C7)/E7*100</f>
        <v>43.3333333333333</v>
      </c>
      <c r="G7" s="45" t="s">
        <v>72</v>
      </c>
      <c r="H7" s="59" t="n">
        <v>10</v>
      </c>
      <c r="I7" s="60" t="n">
        <v>15</v>
      </c>
    </row>
    <row r="8" customFormat="false" ht="18" hidden="false" customHeight="true" outlineLevel="0" collapsed="false">
      <c r="A8" s="50" t="s">
        <v>23</v>
      </c>
      <c r="B8" s="51" t="n">
        <v>2700</v>
      </c>
      <c r="C8" s="52" t="n">
        <f aca="false">B8/120</f>
        <v>22.5</v>
      </c>
      <c r="D8" s="53" t="s">
        <v>62</v>
      </c>
      <c r="E8" s="51" t="n">
        <v>20</v>
      </c>
      <c r="F8" s="61" t="n">
        <f aca="false">(E8-C8)/E8*100</f>
        <v>-12.5</v>
      </c>
      <c r="G8" s="53" t="s">
        <v>72</v>
      </c>
      <c r="H8" s="62" t="n">
        <v>10</v>
      </c>
      <c r="I8" s="63" t="n">
        <v>20</v>
      </c>
    </row>
    <row r="9" customFormat="false" ht="18" hidden="false" customHeight="true" outlineLevel="0" collapsed="false">
      <c r="A9" s="42" t="s">
        <v>25</v>
      </c>
      <c r="B9" s="43" t="n">
        <v>2700</v>
      </c>
      <c r="C9" s="44" t="n">
        <f aca="false">B9/120</f>
        <v>22.5</v>
      </c>
      <c r="D9" s="45" t="s">
        <v>62</v>
      </c>
      <c r="E9" s="43" t="n">
        <v>20</v>
      </c>
      <c r="F9" s="58" t="n">
        <f aca="false">(E9-C9)/E9*100</f>
        <v>-12.5</v>
      </c>
      <c r="G9" s="45" t="s">
        <v>72</v>
      </c>
      <c r="H9" s="59" t="n">
        <v>10</v>
      </c>
      <c r="I9" s="60" t="n">
        <v>20</v>
      </c>
    </row>
    <row r="10" customFormat="false" ht="18" hidden="false" customHeight="true" outlineLevel="0" collapsed="false">
      <c r="A10" s="50" t="s">
        <v>26</v>
      </c>
      <c r="B10" s="51" t="n">
        <v>2700</v>
      </c>
      <c r="C10" s="52" t="n">
        <f aca="false">B10/120</f>
        <v>22.5</v>
      </c>
      <c r="D10" s="53" t="s">
        <v>62</v>
      </c>
      <c r="E10" s="51" t="n">
        <v>20</v>
      </c>
      <c r="F10" s="61" t="n">
        <f aca="false">(E10-C10)/E10*100</f>
        <v>-12.5</v>
      </c>
      <c r="G10" s="53" t="s">
        <v>72</v>
      </c>
      <c r="H10" s="62" t="n">
        <v>10</v>
      </c>
      <c r="I10" s="63" t="n">
        <v>20</v>
      </c>
    </row>
    <row r="11" customFormat="false" ht="18" hidden="false" customHeight="true" outlineLevel="0" collapsed="false">
      <c r="A11" s="42" t="s">
        <v>27</v>
      </c>
      <c r="B11" s="43" t="n">
        <v>2520</v>
      </c>
      <c r="C11" s="44" t="n">
        <f aca="false">B11/120</f>
        <v>21</v>
      </c>
      <c r="D11" s="45" t="s">
        <v>62</v>
      </c>
      <c r="E11" s="43" t="n">
        <v>20</v>
      </c>
      <c r="F11" s="58" t="n">
        <f aca="false">(E11-C11)/E11*100</f>
        <v>-5</v>
      </c>
      <c r="G11" s="45" t="s">
        <v>72</v>
      </c>
      <c r="H11" s="59" t="n">
        <v>10</v>
      </c>
      <c r="I11" s="60" t="n">
        <v>20</v>
      </c>
    </row>
    <row r="12" customFormat="false" ht="18" hidden="false" customHeight="true" outlineLevel="0" collapsed="false">
      <c r="A12" s="50" t="s">
        <v>32</v>
      </c>
      <c r="B12" s="51" t="n">
        <v>8000</v>
      </c>
      <c r="C12" s="52" t="n">
        <f aca="false">B12/208</f>
        <v>38.4615384615385</v>
      </c>
      <c r="D12" s="53" t="s">
        <v>63</v>
      </c>
      <c r="E12" s="51" t="n">
        <v>65</v>
      </c>
      <c r="F12" s="61" t="n">
        <f aca="false">(E12-C12)/E12*100</f>
        <v>40.8284023668639</v>
      </c>
      <c r="G12" s="53" t="s">
        <v>73</v>
      </c>
      <c r="H12" s="62" t="n">
        <v>25</v>
      </c>
      <c r="I12" s="63" t="n">
        <v>70</v>
      </c>
    </row>
    <row r="13" customFormat="false" ht="18" hidden="false" customHeight="true" outlineLevel="0" collapsed="false">
      <c r="A13" s="42" t="s">
        <v>35</v>
      </c>
      <c r="B13" s="43" t="n">
        <v>6000</v>
      </c>
      <c r="C13" s="44" t="n">
        <f aca="false">B13/208</f>
        <v>28.8461538461538</v>
      </c>
      <c r="D13" s="45" t="s">
        <v>63</v>
      </c>
      <c r="E13" s="43" t="n">
        <v>65</v>
      </c>
      <c r="F13" s="58" t="n">
        <f aca="false">(E13-C13)/E13*100</f>
        <v>55.6213017751479</v>
      </c>
      <c r="G13" s="45" t="s">
        <v>73</v>
      </c>
      <c r="H13" s="59" t="n">
        <v>25</v>
      </c>
      <c r="I13" s="60" t="n">
        <v>70</v>
      </c>
    </row>
    <row r="14" customFormat="false" ht="18" hidden="false" customHeight="true" outlineLevel="0" collapsed="false">
      <c r="A14" s="50" t="s">
        <v>37</v>
      </c>
      <c r="B14" s="51" t="n">
        <v>7500</v>
      </c>
      <c r="C14" s="52" t="n">
        <f aca="false">B14/208</f>
        <v>36.0576923076923</v>
      </c>
      <c r="D14" s="53" t="s">
        <v>63</v>
      </c>
      <c r="E14" s="51" t="n">
        <v>65</v>
      </c>
      <c r="F14" s="61" t="n">
        <f aca="false">(E14-C14)/E14*100</f>
        <v>44.5266272189349</v>
      </c>
      <c r="G14" s="53" t="s">
        <v>73</v>
      </c>
      <c r="H14" s="62" t="n">
        <v>25</v>
      </c>
      <c r="I14" s="63" t="n">
        <v>70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20"/>
  </cols>
  <sheetData>
    <row r="1" customFormat="false" ht="25.5" hidden="false" customHeight="true" outlineLevel="0" collapsed="false">
      <c r="A1" s="40" t="s">
        <v>74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customFormat="false" ht="7.5" hidden="false" customHeight="true" outlineLevel="0" collapsed="false"/>
    <row r="3" customFormat="false" ht="30" hidden="false" customHeight="true" outlineLevel="0" collapsed="false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81</v>
      </c>
      <c r="H3" s="3" t="s">
        <v>57</v>
      </c>
      <c r="I3" s="3" t="s">
        <v>69</v>
      </c>
      <c r="J3" s="3" t="s">
        <v>82</v>
      </c>
      <c r="K3" s="3" t="s">
        <v>83</v>
      </c>
    </row>
    <row r="4" customFormat="false" ht="18" hidden="false" customHeight="true" outlineLevel="0" collapsed="false">
      <c r="A4" s="50" t="s">
        <v>84</v>
      </c>
      <c r="B4" s="64" t="s">
        <v>85</v>
      </c>
      <c r="C4" s="64" t="s">
        <v>86</v>
      </c>
      <c r="D4" s="53" t="s">
        <v>87</v>
      </c>
      <c r="E4" s="53" t="s">
        <v>88</v>
      </c>
      <c r="F4" s="53" t="s">
        <v>61</v>
      </c>
      <c r="G4" s="53" t="s">
        <v>89</v>
      </c>
      <c r="H4" s="53" t="n">
        <v>35</v>
      </c>
      <c r="I4" s="53" t="s">
        <v>90</v>
      </c>
      <c r="J4" s="53" t="s">
        <v>91</v>
      </c>
      <c r="K4" s="64" t="s">
        <v>92</v>
      </c>
    </row>
    <row r="5" customFormat="false" ht="18" hidden="false" customHeight="true" outlineLevel="0" collapsed="false">
      <c r="A5" s="42" t="s">
        <v>93</v>
      </c>
      <c r="B5" s="65" t="s">
        <v>85</v>
      </c>
      <c r="C5" s="65" t="s">
        <v>94</v>
      </c>
      <c r="D5" s="45" t="s">
        <v>95</v>
      </c>
      <c r="E5" s="45" t="s">
        <v>88</v>
      </c>
      <c r="F5" s="45" t="s">
        <v>61</v>
      </c>
      <c r="G5" s="45" t="s">
        <v>89</v>
      </c>
      <c r="H5" s="45" t="n">
        <v>40</v>
      </c>
      <c r="I5" s="45" t="s">
        <v>90</v>
      </c>
      <c r="J5" s="45" t="s">
        <v>91</v>
      </c>
      <c r="K5" s="65" t="s">
        <v>96</v>
      </c>
    </row>
    <row r="6" customFormat="false" ht="18" hidden="false" customHeight="true" outlineLevel="0" collapsed="false">
      <c r="A6" s="50" t="s">
        <v>97</v>
      </c>
      <c r="B6" s="64" t="s">
        <v>85</v>
      </c>
      <c r="C6" s="64" t="s">
        <v>98</v>
      </c>
      <c r="D6" s="53" t="s">
        <v>99</v>
      </c>
      <c r="E6" s="53" t="s">
        <v>88</v>
      </c>
      <c r="F6" s="53" t="s">
        <v>61</v>
      </c>
      <c r="G6" s="53" t="s">
        <v>89</v>
      </c>
      <c r="H6" s="53" t="n">
        <v>45</v>
      </c>
      <c r="I6" s="53" t="s">
        <v>90</v>
      </c>
      <c r="J6" s="53" t="s">
        <v>91</v>
      </c>
      <c r="K6" s="64" t="s">
        <v>100</v>
      </c>
    </row>
    <row r="7" customFormat="false" ht="18" hidden="false" customHeight="true" outlineLevel="0" collapsed="false">
      <c r="A7" s="42" t="s">
        <v>101</v>
      </c>
      <c r="B7" s="65" t="s">
        <v>85</v>
      </c>
      <c r="C7" s="65" t="s">
        <v>102</v>
      </c>
      <c r="D7" s="45" t="s">
        <v>87</v>
      </c>
      <c r="E7" s="45" t="s">
        <v>88</v>
      </c>
      <c r="F7" s="45" t="s">
        <v>62</v>
      </c>
      <c r="G7" s="45" t="s">
        <v>89</v>
      </c>
      <c r="H7" s="45" t="n">
        <v>30</v>
      </c>
      <c r="I7" s="45" t="s">
        <v>90</v>
      </c>
      <c r="J7" s="45" t="s">
        <v>91</v>
      </c>
      <c r="K7" s="65" t="s">
        <v>103</v>
      </c>
    </row>
    <row r="8" customFormat="false" ht="18" hidden="false" customHeight="true" outlineLevel="0" collapsed="false">
      <c r="A8" s="50" t="s">
        <v>104</v>
      </c>
      <c r="B8" s="64" t="s">
        <v>85</v>
      </c>
      <c r="C8" s="64" t="s">
        <v>105</v>
      </c>
      <c r="D8" s="53" t="s">
        <v>95</v>
      </c>
      <c r="E8" s="53" t="s">
        <v>88</v>
      </c>
      <c r="F8" s="53" t="s">
        <v>62</v>
      </c>
      <c r="G8" s="53" t="s">
        <v>89</v>
      </c>
      <c r="H8" s="53" t="n">
        <v>35</v>
      </c>
      <c r="I8" s="53" t="s">
        <v>90</v>
      </c>
      <c r="J8" s="53" t="s">
        <v>91</v>
      </c>
      <c r="K8" s="64" t="s">
        <v>106</v>
      </c>
    </row>
    <row r="9" customFormat="false" ht="18" hidden="false" customHeight="true" outlineLevel="0" collapsed="false">
      <c r="A9" s="42" t="s">
        <v>107</v>
      </c>
      <c r="B9" s="65" t="s">
        <v>85</v>
      </c>
      <c r="C9" s="65" t="s">
        <v>108</v>
      </c>
      <c r="D9" s="45" t="s">
        <v>99</v>
      </c>
      <c r="E9" s="45" t="s">
        <v>88</v>
      </c>
      <c r="F9" s="45" t="s">
        <v>62</v>
      </c>
      <c r="G9" s="45" t="s">
        <v>89</v>
      </c>
      <c r="H9" s="45" t="n">
        <v>40</v>
      </c>
      <c r="I9" s="45" t="s">
        <v>90</v>
      </c>
      <c r="J9" s="45" t="s">
        <v>91</v>
      </c>
      <c r="K9" s="65" t="s">
        <v>109</v>
      </c>
    </row>
    <row r="10" customFormat="false" ht="18" hidden="false" customHeight="true" outlineLevel="0" collapsed="false">
      <c r="A10" s="50" t="s">
        <v>110</v>
      </c>
      <c r="B10" s="64" t="s">
        <v>85</v>
      </c>
      <c r="C10" s="64" t="s">
        <v>111</v>
      </c>
      <c r="D10" s="53" t="s">
        <v>112</v>
      </c>
      <c r="E10" s="53" t="s">
        <v>88</v>
      </c>
      <c r="F10" s="53" t="s">
        <v>63</v>
      </c>
      <c r="G10" s="53" t="s">
        <v>113</v>
      </c>
      <c r="H10" s="53" t="n">
        <v>15</v>
      </c>
      <c r="I10" s="53" t="s">
        <v>90</v>
      </c>
      <c r="J10" s="53" t="s">
        <v>114</v>
      </c>
      <c r="K10" s="64" t="s">
        <v>115</v>
      </c>
    </row>
    <row r="11" customFormat="false" ht="18" hidden="false" customHeight="true" outlineLevel="0" collapsed="false">
      <c r="A11" s="42" t="s">
        <v>116</v>
      </c>
      <c r="B11" s="65" t="s">
        <v>85</v>
      </c>
      <c r="C11" s="65" t="s">
        <v>117</v>
      </c>
      <c r="D11" s="45" t="s">
        <v>112</v>
      </c>
      <c r="E11" s="45" t="s">
        <v>88</v>
      </c>
      <c r="F11" s="45" t="s">
        <v>63</v>
      </c>
      <c r="G11" s="45" t="s">
        <v>113</v>
      </c>
      <c r="H11" s="45" t="n">
        <v>15</v>
      </c>
      <c r="I11" s="45" t="s">
        <v>90</v>
      </c>
      <c r="J11" s="45" t="s">
        <v>114</v>
      </c>
      <c r="K11" s="65" t="s">
        <v>118</v>
      </c>
    </row>
    <row r="12" customFormat="false" ht="18" hidden="false" customHeight="true" outlineLevel="0" collapsed="false">
      <c r="A12" s="50" t="s">
        <v>119</v>
      </c>
      <c r="B12" s="64" t="s">
        <v>85</v>
      </c>
      <c r="C12" s="64" t="s">
        <v>120</v>
      </c>
      <c r="D12" s="53" t="s">
        <v>112</v>
      </c>
      <c r="E12" s="53" t="s">
        <v>88</v>
      </c>
      <c r="F12" s="53" t="s">
        <v>63</v>
      </c>
      <c r="G12" s="53" t="s">
        <v>113</v>
      </c>
      <c r="H12" s="53" t="n">
        <v>20</v>
      </c>
      <c r="I12" s="53" t="s">
        <v>90</v>
      </c>
      <c r="J12" s="53" t="s">
        <v>114</v>
      </c>
      <c r="K12" s="64" t="s">
        <v>121</v>
      </c>
    </row>
    <row r="13" customFormat="false" ht="18" hidden="false" customHeight="true" outlineLevel="0" collapsed="false">
      <c r="A13" s="42" t="s">
        <v>122</v>
      </c>
      <c r="B13" s="65" t="s">
        <v>85</v>
      </c>
      <c r="C13" s="65" t="s">
        <v>123</v>
      </c>
      <c r="D13" s="45" t="s">
        <v>124</v>
      </c>
      <c r="E13" s="45" t="s">
        <v>88</v>
      </c>
      <c r="F13" s="45" t="s">
        <v>61</v>
      </c>
      <c r="G13" s="45" t="s">
        <v>89</v>
      </c>
      <c r="H13" s="45" t="n">
        <v>25</v>
      </c>
      <c r="I13" s="45" t="s">
        <v>90</v>
      </c>
      <c r="J13" s="45" t="s">
        <v>91</v>
      </c>
      <c r="K13" s="65" t="s">
        <v>125</v>
      </c>
    </row>
    <row r="14" customFormat="false" ht="18" hidden="false" customHeight="true" outlineLevel="0" collapsed="false">
      <c r="A14" s="50" t="s">
        <v>126</v>
      </c>
      <c r="B14" s="64" t="s">
        <v>85</v>
      </c>
      <c r="C14" s="64" t="s">
        <v>127</v>
      </c>
      <c r="D14" s="53" t="s">
        <v>128</v>
      </c>
      <c r="E14" s="53" t="s">
        <v>88</v>
      </c>
      <c r="F14" s="53" t="s">
        <v>61</v>
      </c>
      <c r="G14" s="53" t="s">
        <v>89</v>
      </c>
      <c r="H14" s="53" t="n">
        <v>10</v>
      </c>
      <c r="I14" s="53" t="s">
        <v>90</v>
      </c>
      <c r="J14" s="53" t="s">
        <v>91</v>
      </c>
      <c r="K14" s="64" t="s">
        <v>129</v>
      </c>
    </row>
    <row r="15" customFormat="false" ht="18" hidden="false" customHeight="true" outlineLevel="0" collapsed="false">
      <c r="A15" s="42" t="s">
        <v>130</v>
      </c>
      <c r="B15" s="65" t="s">
        <v>131</v>
      </c>
      <c r="C15" s="65" t="s">
        <v>85</v>
      </c>
      <c r="D15" s="45" t="s">
        <v>132</v>
      </c>
      <c r="E15" s="45" t="s">
        <v>133</v>
      </c>
      <c r="F15" s="45" t="s">
        <v>134</v>
      </c>
      <c r="G15" s="45" t="s">
        <v>113</v>
      </c>
      <c r="H15" s="45" t="n">
        <v>12</v>
      </c>
      <c r="I15" s="45" t="s">
        <v>135</v>
      </c>
      <c r="J15" s="45" t="s">
        <v>136</v>
      </c>
      <c r="K15" s="65" t="s">
        <v>137</v>
      </c>
    </row>
    <row r="16" customFormat="false" ht="19.5" hidden="false" customHeight="true" outlineLevel="0" collapsed="false">
      <c r="A16" s="36" t="s">
        <v>138</v>
      </c>
      <c r="B16" s="36"/>
      <c r="C16" s="36"/>
      <c r="D16" s="36"/>
      <c r="E16" s="36"/>
      <c r="F16" s="36"/>
      <c r="G16" s="36"/>
      <c r="H16" s="66" t="n">
        <f aca="false">SUM(H4:H15)</f>
        <v>322</v>
      </c>
      <c r="I16" s="67"/>
      <c r="J16" s="67"/>
      <c r="K16" s="67"/>
    </row>
  </sheetData>
  <mergeCells count="2">
    <mergeCell ref="A1:K1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2026-05-07T20:37:42Z</dcterms:created>
  <dc:creator>openpyxl</dc:creator>
  <dc:description/>
  <dc:language>en-US</dc:language>
  <cp:lastModifiedBy/>
  <dcterms:modified xsi:type="dcterms:W3CDTF">2026-05-07T20:37:42Z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